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FHA\Data\Raw\"/>
    </mc:Choice>
  </mc:AlternateContent>
  <xr:revisionPtr revIDLastSave="0" documentId="13_ncr:1_{8D6DCC19-6C80-4976-BAA0-F8B0FF04C1AA}" xr6:coauthVersionLast="47" xr6:coauthVersionMax="47" xr10:uidLastSave="{00000000-0000-0000-0000-000000000000}"/>
  <bookViews>
    <workbookView xWindow="-90" yWindow="0" windowWidth="9780" windowHeight="11370" activeTab="2" xr2:uid="{3EEAA158-C371-457D-B570-CDE3D57D561D}"/>
  </bookViews>
  <sheets>
    <sheet name="yearbook1979" sheetId="1" r:id="rId1"/>
    <sheet name="usmc2001" sheetId="2" r:id="rId2"/>
    <sheet name="fha_marketsh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<sst xmlns="http://schemas.openxmlformats.org/spreadsheetml/2006/main" count="230" uniqueCount="16">
  <si>
    <t>number</t>
  </si>
  <si>
    <t>amount</t>
  </si>
  <si>
    <t>source</t>
  </si>
  <si>
    <t>https://www.huduser.gov/portal/Publications/pdf/HUD-4033.pdf</t>
  </si>
  <si>
    <t>url</t>
  </si>
  <si>
    <t>count</t>
  </si>
  <si>
    <t>count_PMI</t>
  </si>
  <si>
    <t>year</t>
  </si>
  <si>
    <t>amount_B</t>
  </si>
  <si>
    <t>https://www.hud.gov/sites/default/files/Housing/documents/FHA-SF-Market-Share-2025Q4.pdf</t>
  </si>
  <si>
    <t>FHA-Insured Single-Family Mortgage Originations and Market Share Report 2025Q4</t>
  </si>
  <si>
    <t>https://www.hud.gov/sites/dfiles/Housing/images/FHASFMarketShare2019Q4.pdf</t>
  </si>
  <si>
    <t>FHA-Insured Single-Family Mortgage Originations and Market Share Report 2019Q4</t>
  </si>
  <si>
    <t>https://www.huduser.gov/periodicals/ushmc/winter2001/histdat16.htm</t>
  </si>
  <si>
    <t>US Housing Market Conditions Historical Data Winter 2001</t>
  </si>
  <si>
    <t>Statistical Yearbook 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</si>
</sst>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ud.gov/sites/dfiles/Housing/images/FHASFMarketShare2019Q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95E3-D486-43A1-90AB-F8EB6BD71D70}">
  <dimension ref="A1:E47"/>
  <sheetViews>
    <sheetView workbookViewId="0">
      <selection activeCell="E2" sqref="E2:E47"/>
    </sheetView>
  </sheetViews>
  <sheetFormatPr defaultRowHeight="14.5" x14ac:dyDescent="0.35"/>
  <cols>
    <col min="4" max="4" width="9.81640625" bestFit="1" customWidth="1"/>
  </cols>
  <sheetData>
    <row r="1" spans="1:5" x14ac:dyDescent="0.35">
      <c r="A1" t="s">
        <v>7</v>
      </c>
      <c r="B1" t="s">
        <v>1</v>
      </c>
      <c r="C1" t="s">
        <v>0</v>
      </c>
      <c r="D1" t="s">
        <v>4</v>
      </c>
      <c r="E1" t="s">
        <v>2</v>
      </c>
    </row>
    <row r="2" spans="1:5" x14ac:dyDescent="0.35">
      <c r="A2">
        <v>1934</v>
      </c>
      <c r="B2">
        <v>0</v>
      </c>
      <c r="C2">
        <v>0</v>
      </c>
      <c r="D2" t="s">
        <v>3</v>
      </c>
      <c r="E2" t="s">
        <v>15</v>
      </c>
    </row>
    <row r="3" spans="1:5" x14ac:dyDescent="0.35">
      <c r="A3">
        <f>A2+1</f>
        <v>1935</v>
      </c>
      <c r="B3">
        <v>93882</v>
      </c>
      <c r="C3">
        <v>23397</v>
      </c>
      <c r="D3" t="s">
        <v>3</v>
      </c>
      <c r="E3" t="s">
        <v>15</v>
      </c>
    </row>
    <row r="4" spans="1:5" x14ac:dyDescent="0.35">
      <c r="A4">
        <f>A3+1</f>
        <v>1936</v>
      </c>
      <c r="B4">
        <v>308945</v>
      </c>
      <c r="C4">
        <v>77231</v>
      </c>
      <c r="D4" t="s">
        <v>3</v>
      </c>
      <c r="E4" t="s">
        <v>15</v>
      </c>
    </row>
    <row r="5" spans="1:5" x14ac:dyDescent="0.35">
      <c r="A5">
        <f t="shared" ref="A5:A47" si="0">A4+1</f>
        <v>1937</v>
      </c>
      <c r="B5">
        <v>424373</v>
      </c>
      <c r="C5">
        <v>102076</v>
      </c>
      <c r="D5" t="s">
        <v>3</v>
      </c>
      <c r="E5" t="s">
        <v>15</v>
      </c>
    </row>
    <row r="6" spans="1:5" x14ac:dyDescent="0.35">
      <c r="A6">
        <f t="shared" si="0"/>
        <v>1938</v>
      </c>
      <c r="B6">
        <v>485812</v>
      </c>
      <c r="C6">
        <v>115124</v>
      </c>
      <c r="D6" t="s">
        <v>3</v>
      </c>
      <c r="E6" t="s">
        <v>15</v>
      </c>
    </row>
    <row r="7" spans="1:5" x14ac:dyDescent="0.35">
      <c r="A7">
        <f t="shared" si="0"/>
        <v>1939</v>
      </c>
      <c r="B7">
        <v>694764</v>
      </c>
      <c r="C7">
        <v>164530</v>
      </c>
      <c r="D7" t="s">
        <v>3</v>
      </c>
      <c r="E7" t="s">
        <v>15</v>
      </c>
    </row>
    <row r="8" spans="1:5" x14ac:dyDescent="0.35">
      <c r="A8">
        <f t="shared" si="0"/>
        <v>1940</v>
      </c>
      <c r="B8">
        <v>762084</v>
      </c>
      <c r="C8">
        <v>177400</v>
      </c>
      <c r="D8" t="s">
        <v>3</v>
      </c>
      <c r="E8" t="s">
        <v>15</v>
      </c>
    </row>
    <row r="9" spans="1:5" x14ac:dyDescent="0.35">
      <c r="A9">
        <f t="shared" si="0"/>
        <v>1941</v>
      </c>
      <c r="B9">
        <v>910770</v>
      </c>
      <c r="C9">
        <v>210310</v>
      </c>
      <c r="D9" t="s">
        <v>3</v>
      </c>
      <c r="E9" t="s">
        <v>15</v>
      </c>
    </row>
    <row r="10" spans="1:5" x14ac:dyDescent="0.35">
      <c r="A10">
        <f t="shared" si="0"/>
        <v>1942</v>
      </c>
      <c r="B10">
        <v>973271</v>
      </c>
      <c r="C10">
        <v>223562</v>
      </c>
      <c r="D10" t="s">
        <v>3</v>
      </c>
      <c r="E10" t="s">
        <v>15</v>
      </c>
    </row>
    <row r="11" spans="1:5" x14ac:dyDescent="0.35">
      <c r="A11">
        <f t="shared" si="0"/>
        <v>1943</v>
      </c>
      <c r="B11">
        <v>763097</v>
      </c>
      <c r="C11">
        <v>166402</v>
      </c>
      <c r="D11" t="s">
        <v>3</v>
      </c>
      <c r="E11" t="s">
        <v>15</v>
      </c>
    </row>
    <row r="12" spans="1:5" x14ac:dyDescent="0.35">
      <c r="A12">
        <f t="shared" si="0"/>
        <v>1944</v>
      </c>
      <c r="B12">
        <v>707363</v>
      </c>
      <c r="C12">
        <v>146974</v>
      </c>
      <c r="D12" t="s">
        <v>3</v>
      </c>
      <c r="E12" t="s">
        <v>15</v>
      </c>
    </row>
    <row r="13" spans="1:5" x14ac:dyDescent="0.35">
      <c r="A13">
        <f t="shared" si="0"/>
        <v>1945</v>
      </c>
      <c r="B13">
        <v>474245</v>
      </c>
      <c r="C13">
        <v>96776</v>
      </c>
      <c r="D13" t="s">
        <v>3</v>
      </c>
      <c r="E13" t="s">
        <v>15</v>
      </c>
    </row>
    <row r="14" spans="1:5" x14ac:dyDescent="0.35">
      <c r="A14">
        <f t="shared" si="0"/>
        <v>1946</v>
      </c>
      <c r="B14">
        <v>421949</v>
      </c>
      <c r="C14">
        <v>80872</v>
      </c>
      <c r="D14" t="s">
        <v>3</v>
      </c>
      <c r="E14" t="s">
        <v>15</v>
      </c>
    </row>
    <row r="15" spans="1:5" x14ac:dyDescent="0.35">
      <c r="A15">
        <f t="shared" si="0"/>
        <v>1947</v>
      </c>
      <c r="B15">
        <v>894675</v>
      </c>
      <c r="C15">
        <v>141364</v>
      </c>
      <c r="D15" t="s">
        <v>3</v>
      </c>
      <c r="E15" t="s">
        <v>15</v>
      </c>
    </row>
    <row r="16" spans="1:5" x14ac:dyDescent="0.35">
      <c r="A16">
        <f t="shared" si="0"/>
        <v>1948</v>
      </c>
      <c r="B16">
        <v>2116043</v>
      </c>
      <c r="C16">
        <v>300034</v>
      </c>
      <c r="D16" t="s">
        <v>3</v>
      </c>
      <c r="E16" t="s">
        <v>15</v>
      </c>
    </row>
    <row r="17" spans="1:5" x14ac:dyDescent="0.35">
      <c r="A17">
        <f t="shared" si="0"/>
        <v>1949</v>
      </c>
      <c r="B17">
        <v>2209842</v>
      </c>
      <c r="C17">
        <v>305705</v>
      </c>
      <c r="D17" t="s">
        <v>3</v>
      </c>
      <c r="E17" t="s">
        <v>15</v>
      </c>
    </row>
    <row r="18" spans="1:5" x14ac:dyDescent="0.35">
      <c r="A18">
        <f t="shared" si="0"/>
        <v>1950</v>
      </c>
      <c r="B18">
        <v>2492367</v>
      </c>
      <c r="C18">
        <v>342582</v>
      </c>
      <c r="D18" t="s">
        <v>3</v>
      </c>
      <c r="E18" t="s">
        <v>15</v>
      </c>
    </row>
    <row r="19" spans="1:5" x14ac:dyDescent="0.35">
      <c r="A19">
        <f t="shared" si="0"/>
        <v>1951</v>
      </c>
      <c r="B19">
        <v>1928433</v>
      </c>
      <c r="C19">
        <v>252642</v>
      </c>
      <c r="D19" t="s">
        <v>3</v>
      </c>
      <c r="E19" t="s">
        <v>15</v>
      </c>
    </row>
    <row r="20" spans="1:5" x14ac:dyDescent="0.35">
      <c r="A20">
        <f t="shared" si="0"/>
        <v>1952</v>
      </c>
      <c r="B20">
        <v>1942307</v>
      </c>
      <c r="C20">
        <v>234426</v>
      </c>
      <c r="D20" t="s">
        <v>3</v>
      </c>
      <c r="E20" t="s">
        <v>15</v>
      </c>
    </row>
    <row r="21" spans="1:5" x14ac:dyDescent="0.35">
      <c r="A21">
        <f t="shared" si="0"/>
        <v>1953</v>
      </c>
      <c r="B21">
        <v>2288626</v>
      </c>
      <c r="C21">
        <v>261541</v>
      </c>
      <c r="D21" t="s">
        <v>3</v>
      </c>
      <c r="E21" t="s">
        <v>15</v>
      </c>
    </row>
    <row r="22" spans="1:5" x14ac:dyDescent="0.35">
      <c r="A22">
        <f t="shared" si="0"/>
        <v>1954</v>
      </c>
      <c r="B22">
        <v>1942266</v>
      </c>
      <c r="C22">
        <v>214237</v>
      </c>
      <c r="D22" t="s">
        <v>3</v>
      </c>
      <c r="E22" t="s">
        <v>15</v>
      </c>
    </row>
    <row r="23" spans="1:5" x14ac:dyDescent="0.35">
      <c r="A23">
        <f t="shared" si="0"/>
        <v>1955</v>
      </c>
      <c r="B23">
        <v>3084767</v>
      </c>
      <c r="C23">
        <v>310870</v>
      </c>
      <c r="D23" t="s">
        <v>3</v>
      </c>
      <c r="E23" t="s">
        <v>15</v>
      </c>
    </row>
    <row r="24" spans="1:5" x14ac:dyDescent="0.35">
      <c r="A24">
        <f t="shared" si="0"/>
        <v>1956</v>
      </c>
      <c r="B24">
        <v>2638230</v>
      </c>
      <c r="C24">
        <v>248121</v>
      </c>
      <c r="D24" t="s">
        <v>3</v>
      </c>
      <c r="E24" t="s">
        <v>15</v>
      </c>
    </row>
    <row r="25" spans="1:5" x14ac:dyDescent="0.35">
      <c r="A25">
        <f t="shared" si="0"/>
        <v>1957</v>
      </c>
      <c r="B25">
        <v>2251064</v>
      </c>
      <c r="C25">
        <v>198429</v>
      </c>
      <c r="D25" t="s">
        <v>3</v>
      </c>
      <c r="E25" t="s">
        <v>15</v>
      </c>
    </row>
    <row r="26" spans="1:5" x14ac:dyDescent="0.35">
      <c r="A26">
        <f t="shared" si="0"/>
        <v>1958</v>
      </c>
      <c r="B26">
        <v>4551483</v>
      </c>
      <c r="C26">
        <v>381883</v>
      </c>
      <c r="D26" t="s">
        <v>3</v>
      </c>
      <c r="E26" t="s">
        <v>15</v>
      </c>
    </row>
    <row r="27" spans="1:5" x14ac:dyDescent="0.35">
      <c r="A27">
        <f t="shared" si="0"/>
        <v>1959</v>
      </c>
      <c r="B27">
        <v>6069418</v>
      </c>
      <c r="C27">
        <v>495172</v>
      </c>
      <c r="D27" t="s">
        <v>3</v>
      </c>
      <c r="E27" t="s">
        <v>15</v>
      </c>
    </row>
    <row r="28" spans="1:5" x14ac:dyDescent="0.35">
      <c r="A28">
        <f t="shared" si="0"/>
        <v>1960</v>
      </c>
      <c r="B28">
        <v>4600506</v>
      </c>
      <c r="C28">
        <v>366213</v>
      </c>
      <c r="D28" t="s">
        <v>3</v>
      </c>
      <c r="E28" t="s">
        <v>15</v>
      </c>
    </row>
    <row r="29" spans="1:5" x14ac:dyDescent="0.35">
      <c r="A29">
        <f t="shared" si="0"/>
        <v>1961</v>
      </c>
      <c r="B29">
        <v>4765216</v>
      </c>
      <c r="C29">
        <v>368561</v>
      </c>
      <c r="D29" t="s">
        <v>3</v>
      </c>
      <c r="E29" t="s">
        <v>15</v>
      </c>
    </row>
    <row r="30" spans="1:5" x14ac:dyDescent="0.35">
      <c r="A30">
        <f t="shared" si="0"/>
        <v>1962</v>
      </c>
      <c r="B30">
        <v>5270839</v>
      </c>
      <c r="C30">
        <v>395808</v>
      </c>
      <c r="D30" t="s">
        <v>3</v>
      </c>
      <c r="E30" t="s">
        <v>15</v>
      </c>
    </row>
    <row r="31" spans="1:5" x14ac:dyDescent="0.35">
      <c r="A31">
        <f t="shared" si="0"/>
        <v>1963</v>
      </c>
      <c r="B31">
        <v>5569103</v>
      </c>
      <c r="C31">
        <v>412779</v>
      </c>
      <c r="D31" t="s">
        <v>3</v>
      </c>
      <c r="E31" t="s">
        <v>15</v>
      </c>
    </row>
    <row r="32" spans="1:5" x14ac:dyDescent="0.35">
      <c r="A32">
        <f t="shared" si="0"/>
        <v>1964</v>
      </c>
      <c r="B32">
        <v>6573219</v>
      </c>
      <c r="C32">
        <v>490045</v>
      </c>
      <c r="D32" t="s">
        <v>3</v>
      </c>
      <c r="E32" t="s">
        <v>15</v>
      </c>
    </row>
    <row r="33" spans="1:5" x14ac:dyDescent="0.35">
      <c r="A33">
        <f t="shared" si="0"/>
        <v>1965</v>
      </c>
      <c r="B33">
        <v>7464588</v>
      </c>
      <c r="C33">
        <v>537851</v>
      </c>
      <c r="D33" t="s">
        <v>3</v>
      </c>
      <c r="E33" t="s">
        <v>15</v>
      </c>
    </row>
    <row r="34" spans="1:5" x14ac:dyDescent="0.35">
      <c r="A34">
        <f t="shared" si="0"/>
        <v>1966</v>
      </c>
      <c r="B34">
        <v>6095317</v>
      </c>
      <c r="C34">
        <v>421756</v>
      </c>
      <c r="D34" t="s">
        <v>3</v>
      </c>
      <c r="E34" t="s">
        <v>15</v>
      </c>
    </row>
    <row r="35" spans="1:5" x14ac:dyDescent="0.35">
      <c r="A35">
        <f t="shared" si="0"/>
        <v>1967</v>
      </c>
      <c r="B35">
        <v>5884638</v>
      </c>
      <c r="C35">
        <v>395814</v>
      </c>
      <c r="D35" t="s">
        <v>3</v>
      </c>
      <c r="E35" t="s">
        <v>15</v>
      </c>
    </row>
    <row r="36" spans="1:5" x14ac:dyDescent="0.35">
      <c r="A36">
        <f t="shared" si="0"/>
        <v>1968</v>
      </c>
      <c r="B36">
        <v>6495944</v>
      </c>
      <c r="C36">
        <v>425339</v>
      </c>
      <c r="D36" t="s">
        <v>3</v>
      </c>
      <c r="E36" t="s">
        <v>15</v>
      </c>
    </row>
    <row r="37" spans="1:5" x14ac:dyDescent="0.35">
      <c r="A37">
        <f t="shared" si="0"/>
        <v>1969</v>
      </c>
      <c r="B37">
        <v>7164513</v>
      </c>
      <c r="C37">
        <v>453676</v>
      </c>
      <c r="D37" t="s">
        <v>3</v>
      </c>
      <c r="E37" t="s">
        <v>15</v>
      </c>
    </row>
    <row r="38" spans="1:5" x14ac:dyDescent="0.35">
      <c r="A38">
        <f t="shared" si="0"/>
        <v>1970</v>
      </c>
      <c r="B38">
        <v>8068659</v>
      </c>
      <c r="C38">
        <v>471981</v>
      </c>
      <c r="D38" t="s">
        <v>3</v>
      </c>
      <c r="E38" t="s">
        <v>15</v>
      </c>
    </row>
    <row r="39" spans="1:5" x14ac:dyDescent="0.35">
      <c r="A39">
        <f t="shared" si="0"/>
        <v>1971</v>
      </c>
      <c r="B39">
        <v>10374542</v>
      </c>
      <c r="C39">
        <v>565417</v>
      </c>
      <c r="D39" t="s">
        <v>3</v>
      </c>
      <c r="E39" t="s">
        <v>15</v>
      </c>
    </row>
    <row r="40" spans="1:5" x14ac:dyDescent="0.35">
      <c r="A40">
        <f t="shared" si="0"/>
        <v>1972</v>
      </c>
      <c r="B40">
        <v>8067056</v>
      </c>
      <c r="C40">
        <v>427858</v>
      </c>
      <c r="D40" t="s">
        <v>3</v>
      </c>
      <c r="E40" t="s">
        <v>15</v>
      </c>
    </row>
    <row r="41" spans="1:5" x14ac:dyDescent="0.35">
      <c r="A41">
        <f t="shared" si="0"/>
        <v>1973</v>
      </c>
      <c r="B41">
        <v>4473303</v>
      </c>
      <c r="C41">
        <v>240004</v>
      </c>
      <c r="D41" t="s">
        <v>3</v>
      </c>
      <c r="E41" t="s">
        <v>15</v>
      </c>
    </row>
    <row r="42" spans="1:5" x14ac:dyDescent="0.35">
      <c r="A42">
        <f t="shared" si="0"/>
        <v>1974</v>
      </c>
      <c r="B42">
        <v>3933705</v>
      </c>
      <c r="C42">
        <v>195850</v>
      </c>
      <c r="D42" t="s">
        <v>3</v>
      </c>
      <c r="E42" t="s">
        <v>15</v>
      </c>
    </row>
    <row r="43" spans="1:5" x14ac:dyDescent="0.35">
      <c r="A43">
        <f t="shared" si="0"/>
        <v>1975</v>
      </c>
      <c r="B43">
        <v>6116115</v>
      </c>
      <c r="C43">
        <v>255061</v>
      </c>
      <c r="D43" t="s">
        <v>3</v>
      </c>
      <c r="E43" t="s">
        <v>15</v>
      </c>
    </row>
    <row r="44" spans="1:5" x14ac:dyDescent="0.35">
      <c r="A44">
        <f t="shared" si="0"/>
        <v>1976</v>
      </c>
      <c r="B44">
        <v>6362120</v>
      </c>
      <c r="C44">
        <v>250808</v>
      </c>
      <c r="D44" t="s">
        <v>3</v>
      </c>
      <c r="E44" t="s">
        <v>15</v>
      </c>
    </row>
    <row r="45" spans="1:5" x14ac:dyDescent="0.35">
      <c r="A45">
        <f t="shared" si="0"/>
        <v>1977</v>
      </c>
      <c r="B45">
        <v>8840836</v>
      </c>
      <c r="C45">
        <v>321118</v>
      </c>
      <c r="D45" t="s">
        <v>3</v>
      </c>
      <c r="E45" t="s">
        <v>15</v>
      </c>
    </row>
    <row r="46" spans="1:5" x14ac:dyDescent="0.35">
      <c r="A46">
        <f t="shared" si="0"/>
        <v>1978</v>
      </c>
      <c r="B46">
        <v>11139970</v>
      </c>
      <c r="C46">
        <v>334108</v>
      </c>
      <c r="D46" t="s">
        <v>3</v>
      </c>
      <c r="E46" t="s">
        <v>15</v>
      </c>
    </row>
    <row r="47" spans="1:5" x14ac:dyDescent="0.35">
      <c r="A47">
        <f t="shared" si="0"/>
        <v>1979</v>
      </c>
      <c r="B47">
        <v>18184201</v>
      </c>
      <c r="C47">
        <v>457726</v>
      </c>
      <c r="D47" t="s">
        <v>3</v>
      </c>
      <c r="E4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60F8-54F4-40EF-8093-59E1EE990CEA}">
  <dimension ref="A1:E34"/>
  <sheetViews>
    <sheetView workbookViewId="0">
      <selection activeCell="D2" sqref="D2:E34"/>
    </sheetView>
  </sheetViews>
  <sheetFormatPr defaultRowHeight="14.5" x14ac:dyDescent="0.35"/>
  <sheetData>
    <row r="1" spans="1:5" x14ac:dyDescent="0.35">
      <c r="B1" t="s">
        <v>5</v>
      </c>
      <c r="C1" t="s">
        <v>6</v>
      </c>
      <c r="D1" t="s">
        <v>4</v>
      </c>
      <c r="E1" t="s">
        <v>2</v>
      </c>
    </row>
    <row r="2" spans="1:5" x14ac:dyDescent="0.35">
      <c r="A2">
        <v>1968</v>
      </c>
      <c r="B2">
        <v>425339</v>
      </c>
      <c r="D2" t="s">
        <v>13</v>
      </c>
      <c r="E2" t="s">
        <v>14</v>
      </c>
    </row>
    <row r="3" spans="1:5" x14ac:dyDescent="0.35">
      <c r="A3">
        <v>1969</v>
      </c>
      <c r="B3">
        <v>450079</v>
      </c>
      <c r="D3" t="s">
        <v>13</v>
      </c>
      <c r="E3" t="s">
        <v>14</v>
      </c>
    </row>
    <row r="4" spans="1:5" x14ac:dyDescent="0.35">
      <c r="A4">
        <v>1970</v>
      </c>
      <c r="B4">
        <v>475176</v>
      </c>
      <c r="D4" t="s">
        <v>13</v>
      </c>
      <c r="E4" t="s">
        <v>14</v>
      </c>
    </row>
    <row r="5" spans="1:5" x14ac:dyDescent="0.35">
      <c r="A5">
        <v>1971</v>
      </c>
      <c r="B5">
        <v>565417</v>
      </c>
      <c r="D5" t="s">
        <v>13</v>
      </c>
      <c r="E5" t="s">
        <v>14</v>
      </c>
    </row>
    <row r="6" spans="1:5" x14ac:dyDescent="0.35">
      <c r="A6">
        <v>1972</v>
      </c>
      <c r="B6">
        <v>427858</v>
      </c>
      <c r="D6" t="s">
        <v>13</v>
      </c>
      <c r="E6" t="s">
        <v>14</v>
      </c>
    </row>
    <row r="7" spans="1:5" x14ac:dyDescent="0.35">
      <c r="A7">
        <v>1973</v>
      </c>
      <c r="B7">
        <v>240004</v>
      </c>
      <c r="D7" t="s">
        <v>13</v>
      </c>
      <c r="E7" t="s">
        <v>14</v>
      </c>
    </row>
    <row r="8" spans="1:5" x14ac:dyDescent="0.35">
      <c r="A8">
        <v>1974</v>
      </c>
      <c r="B8">
        <v>195850</v>
      </c>
      <c r="D8" t="s">
        <v>13</v>
      </c>
      <c r="E8" t="s">
        <v>14</v>
      </c>
    </row>
    <row r="9" spans="1:5" x14ac:dyDescent="0.35">
      <c r="A9">
        <v>1975</v>
      </c>
      <c r="B9">
        <v>255061</v>
      </c>
      <c r="D9" t="s">
        <v>13</v>
      </c>
      <c r="E9" t="s">
        <v>14</v>
      </c>
    </row>
    <row r="10" spans="1:5" x14ac:dyDescent="0.35">
      <c r="A10">
        <v>1976</v>
      </c>
      <c r="B10">
        <v>250808</v>
      </c>
      <c r="D10" t="s">
        <v>13</v>
      </c>
      <c r="E10" t="s">
        <v>14</v>
      </c>
    </row>
    <row r="11" spans="1:5" x14ac:dyDescent="0.35">
      <c r="A11">
        <v>1977</v>
      </c>
      <c r="B11">
        <v>321118</v>
      </c>
      <c r="D11" t="s">
        <v>13</v>
      </c>
      <c r="E11" t="s">
        <v>14</v>
      </c>
    </row>
    <row r="12" spans="1:5" x14ac:dyDescent="0.35">
      <c r="A12">
        <v>1978</v>
      </c>
      <c r="B12">
        <v>334108</v>
      </c>
      <c r="D12" t="s">
        <v>13</v>
      </c>
      <c r="E12" t="s">
        <v>14</v>
      </c>
    </row>
    <row r="13" spans="1:5" x14ac:dyDescent="0.35">
      <c r="A13">
        <v>1979</v>
      </c>
      <c r="B13">
        <v>457054</v>
      </c>
      <c r="D13" t="s">
        <v>13</v>
      </c>
      <c r="E13" t="s">
        <v>14</v>
      </c>
    </row>
    <row r="14" spans="1:5" x14ac:dyDescent="0.35">
      <c r="A14">
        <v>1980</v>
      </c>
      <c r="B14">
        <v>381169</v>
      </c>
      <c r="C14">
        <v>392808</v>
      </c>
      <c r="D14" t="s">
        <v>13</v>
      </c>
      <c r="E14" t="s">
        <v>14</v>
      </c>
    </row>
    <row r="15" spans="1:5" x14ac:dyDescent="0.35">
      <c r="A15">
        <v>1981</v>
      </c>
      <c r="B15">
        <v>224829</v>
      </c>
      <c r="C15">
        <v>334565</v>
      </c>
      <c r="D15" t="s">
        <v>13</v>
      </c>
      <c r="E15" t="s">
        <v>14</v>
      </c>
    </row>
    <row r="16" spans="1:5" x14ac:dyDescent="0.35">
      <c r="A16">
        <v>1982</v>
      </c>
      <c r="B16">
        <v>166734</v>
      </c>
      <c r="C16">
        <v>315868</v>
      </c>
      <c r="D16" t="s">
        <v>13</v>
      </c>
      <c r="E16" t="s">
        <v>14</v>
      </c>
    </row>
    <row r="17" spans="1:5" x14ac:dyDescent="0.35">
      <c r="A17">
        <v>1983</v>
      </c>
      <c r="B17">
        <v>503425</v>
      </c>
      <c r="C17">
        <v>652214</v>
      </c>
      <c r="D17" t="s">
        <v>13</v>
      </c>
      <c r="E17" t="s">
        <v>14</v>
      </c>
    </row>
    <row r="18" spans="1:5" x14ac:dyDescent="0.35">
      <c r="A18">
        <v>1984</v>
      </c>
      <c r="B18">
        <v>267831</v>
      </c>
      <c r="C18">
        <v>946408</v>
      </c>
      <c r="D18" t="s">
        <v>13</v>
      </c>
      <c r="E18" t="s">
        <v>14</v>
      </c>
    </row>
    <row r="19" spans="1:5" x14ac:dyDescent="0.35">
      <c r="A19">
        <v>1985</v>
      </c>
      <c r="B19">
        <v>409547</v>
      </c>
      <c r="C19">
        <v>729597</v>
      </c>
      <c r="D19" t="s">
        <v>13</v>
      </c>
      <c r="E19" t="s">
        <v>14</v>
      </c>
    </row>
    <row r="20" spans="1:5" x14ac:dyDescent="0.35">
      <c r="A20">
        <v>1986</v>
      </c>
      <c r="B20">
        <v>921370</v>
      </c>
      <c r="C20">
        <v>585987</v>
      </c>
      <c r="D20" t="s">
        <v>13</v>
      </c>
      <c r="E20" t="s">
        <v>14</v>
      </c>
    </row>
    <row r="21" spans="1:5" x14ac:dyDescent="0.35">
      <c r="A21">
        <v>1987</v>
      </c>
      <c r="B21">
        <v>1319987</v>
      </c>
      <c r="C21">
        <v>511068</v>
      </c>
      <c r="D21" t="s">
        <v>13</v>
      </c>
      <c r="E21" t="s">
        <v>14</v>
      </c>
    </row>
    <row r="22" spans="1:5" x14ac:dyDescent="0.35">
      <c r="A22">
        <v>1988</v>
      </c>
      <c r="B22">
        <v>698990</v>
      </c>
      <c r="C22">
        <v>423470</v>
      </c>
      <c r="D22" t="s">
        <v>13</v>
      </c>
      <c r="E22" t="s">
        <v>14</v>
      </c>
    </row>
    <row r="23" spans="1:5" x14ac:dyDescent="0.35">
      <c r="A23">
        <v>1989</v>
      </c>
      <c r="B23">
        <v>726359</v>
      </c>
      <c r="C23">
        <v>365497</v>
      </c>
      <c r="D23" t="s">
        <v>13</v>
      </c>
      <c r="E23" t="s">
        <v>14</v>
      </c>
    </row>
    <row r="24" spans="1:5" x14ac:dyDescent="0.35">
      <c r="A24">
        <v>1990</v>
      </c>
      <c r="B24">
        <v>780329</v>
      </c>
      <c r="C24">
        <v>367120</v>
      </c>
      <c r="D24" t="s">
        <v>13</v>
      </c>
      <c r="E24" t="s">
        <v>14</v>
      </c>
    </row>
    <row r="25" spans="1:5" x14ac:dyDescent="0.35">
      <c r="A25">
        <v>1991</v>
      </c>
      <c r="B25">
        <v>685905</v>
      </c>
      <c r="C25">
        <v>494259</v>
      </c>
      <c r="D25" t="s">
        <v>13</v>
      </c>
      <c r="E25" t="s">
        <v>14</v>
      </c>
    </row>
    <row r="26" spans="1:5" x14ac:dyDescent="0.35">
      <c r="A26">
        <v>1992</v>
      </c>
      <c r="B26">
        <v>680278</v>
      </c>
      <c r="C26">
        <v>907511</v>
      </c>
      <c r="D26" t="s">
        <v>13</v>
      </c>
      <c r="E26" t="s">
        <v>14</v>
      </c>
    </row>
    <row r="27" spans="1:5" x14ac:dyDescent="0.35">
      <c r="A27">
        <v>1993</v>
      </c>
      <c r="B27">
        <v>1065832</v>
      </c>
      <c r="C27">
        <v>1198307</v>
      </c>
      <c r="D27" t="s">
        <v>13</v>
      </c>
      <c r="E27" t="s">
        <v>14</v>
      </c>
    </row>
    <row r="28" spans="1:5" x14ac:dyDescent="0.35">
      <c r="A28">
        <v>1994</v>
      </c>
      <c r="B28">
        <v>1217685</v>
      </c>
      <c r="C28">
        <v>1148696</v>
      </c>
      <c r="D28" t="s">
        <v>13</v>
      </c>
      <c r="E28" t="s">
        <v>14</v>
      </c>
    </row>
    <row r="29" spans="1:5" x14ac:dyDescent="0.35">
      <c r="A29">
        <v>1995</v>
      </c>
      <c r="B29">
        <v>568399</v>
      </c>
      <c r="C29">
        <v>960756</v>
      </c>
      <c r="D29" t="s">
        <v>13</v>
      </c>
      <c r="E29" t="s">
        <v>14</v>
      </c>
    </row>
    <row r="30" spans="1:5" x14ac:dyDescent="0.35">
      <c r="A30">
        <v>1996</v>
      </c>
      <c r="B30">
        <v>849861</v>
      </c>
      <c r="C30">
        <v>1068707</v>
      </c>
      <c r="D30" t="s">
        <v>13</v>
      </c>
      <c r="E30" t="s">
        <v>14</v>
      </c>
    </row>
    <row r="31" spans="1:5" x14ac:dyDescent="0.35">
      <c r="A31">
        <v>1997</v>
      </c>
      <c r="B31">
        <v>839712</v>
      </c>
      <c r="C31">
        <v>974698</v>
      </c>
      <c r="D31" t="s">
        <v>13</v>
      </c>
      <c r="E31" t="s">
        <v>14</v>
      </c>
    </row>
    <row r="32" spans="1:5" x14ac:dyDescent="0.35">
      <c r="A32">
        <v>1998</v>
      </c>
      <c r="B32">
        <v>1110530</v>
      </c>
      <c r="C32">
        <v>1473344</v>
      </c>
      <c r="D32" t="s">
        <v>13</v>
      </c>
      <c r="E32" t="s">
        <v>14</v>
      </c>
    </row>
    <row r="33" spans="1:5" x14ac:dyDescent="0.35">
      <c r="A33">
        <v>1999</v>
      </c>
      <c r="B33">
        <v>1246433</v>
      </c>
      <c r="C33">
        <v>1455403</v>
      </c>
      <c r="D33" t="s">
        <v>13</v>
      </c>
      <c r="E33" t="s">
        <v>14</v>
      </c>
    </row>
    <row r="34" spans="1:5" x14ac:dyDescent="0.35">
      <c r="A34">
        <v>2000</v>
      </c>
      <c r="B34">
        <v>891874</v>
      </c>
      <c r="C34">
        <v>1236214</v>
      </c>
      <c r="D34" t="s">
        <v>13</v>
      </c>
      <c r="E3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1859-EA35-47DF-BB55-3B13D0CF5CB1}">
  <dimension ref="A1:E30"/>
  <sheetViews>
    <sheetView tabSelected="1" topLeftCell="A7" workbookViewId="0">
      <selection activeCell="G15" sqref="G15"/>
    </sheetView>
  </sheetViews>
  <sheetFormatPr defaultRowHeight="14.5" x14ac:dyDescent="0.35"/>
  <sheetData>
    <row r="1" spans="1:5" x14ac:dyDescent="0.35">
      <c r="A1" t="s">
        <v>7</v>
      </c>
      <c r="B1" t="s">
        <v>8</v>
      </c>
      <c r="C1" t="s">
        <v>5</v>
      </c>
      <c r="D1" t="s">
        <v>4</v>
      </c>
      <c r="E1" t="s">
        <v>2</v>
      </c>
    </row>
    <row r="2" spans="1:5" x14ac:dyDescent="0.35">
      <c r="A2">
        <v>1998</v>
      </c>
      <c r="B2">
        <v>106</v>
      </c>
      <c r="C2">
        <v>1135747</v>
      </c>
      <c r="D2" t="s">
        <v>11</v>
      </c>
      <c r="E2" t="s">
        <v>12</v>
      </c>
    </row>
    <row r="3" spans="1:5" x14ac:dyDescent="0.35">
      <c r="A3">
        <v>1999</v>
      </c>
      <c r="B3">
        <v>115</v>
      </c>
      <c r="C3">
        <v>1157794</v>
      </c>
      <c r="D3" t="s">
        <v>11</v>
      </c>
      <c r="E3" t="s">
        <v>12</v>
      </c>
    </row>
    <row r="4" spans="1:5" x14ac:dyDescent="0.35">
      <c r="A4">
        <v>2000</v>
      </c>
      <c r="B4">
        <v>96</v>
      </c>
      <c r="C4">
        <v>910822</v>
      </c>
      <c r="D4" t="s">
        <v>11</v>
      </c>
      <c r="E4" t="s">
        <v>12</v>
      </c>
    </row>
    <row r="5" spans="1:5" x14ac:dyDescent="0.35">
      <c r="A5">
        <v>2001</v>
      </c>
      <c r="B5">
        <v>146</v>
      </c>
      <c r="C5">
        <v>1276948</v>
      </c>
      <c r="D5" t="s">
        <v>11</v>
      </c>
      <c r="E5" t="s">
        <v>12</v>
      </c>
    </row>
    <row r="6" spans="1:5" x14ac:dyDescent="0.35">
      <c r="A6">
        <f>A5+1</f>
        <v>2002</v>
      </c>
      <c r="B6">
        <v>139</v>
      </c>
      <c r="C6">
        <v>1176234</v>
      </c>
      <c r="D6" t="s">
        <v>11</v>
      </c>
      <c r="E6" t="s">
        <v>12</v>
      </c>
    </row>
    <row r="7" spans="1:5" x14ac:dyDescent="0.35">
      <c r="A7">
        <f t="shared" ref="A7:A30" si="0">A6+1</f>
        <v>2003</v>
      </c>
      <c r="B7">
        <v>155</v>
      </c>
      <c r="C7">
        <v>1282972</v>
      </c>
      <c r="D7" t="s">
        <v>11</v>
      </c>
      <c r="E7" t="s">
        <v>12</v>
      </c>
    </row>
    <row r="8" spans="1:5" x14ac:dyDescent="0.35">
      <c r="A8">
        <f t="shared" si="0"/>
        <v>2004</v>
      </c>
      <c r="B8">
        <v>87</v>
      </c>
      <c r="C8">
        <v>715721</v>
      </c>
      <c r="D8" t="s">
        <v>11</v>
      </c>
      <c r="E8" t="s">
        <v>12</v>
      </c>
    </row>
    <row r="9" spans="1:5" x14ac:dyDescent="0.35">
      <c r="A9">
        <f t="shared" si="0"/>
        <v>2005</v>
      </c>
      <c r="B9">
        <v>56</v>
      </c>
      <c r="C9">
        <v>456176</v>
      </c>
      <c r="D9" t="s">
        <v>11</v>
      </c>
      <c r="E9" t="s">
        <v>12</v>
      </c>
    </row>
    <row r="10" spans="1:5" x14ac:dyDescent="0.35">
      <c r="A10">
        <f t="shared" si="0"/>
        <v>2006</v>
      </c>
      <c r="B10">
        <v>55</v>
      </c>
      <c r="C10">
        <v>411120</v>
      </c>
      <c r="D10" t="s">
        <v>11</v>
      </c>
      <c r="E10" t="s">
        <v>12</v>
      </c>
    </row>
    <row r="11" spans="1:5" x14ac:dyDescent="0.35">
      <c r="A11">
        <f t="shared" si="0"/>
        <v>2007</v>
      </c>
      <c r="B11">
        <v>77</v>
      </c>
      <c r="C11">
        <v>528274</v>
      </c>
      <c r="D11" t="s">
        <v>11</v>
      </c>
      <c r="E11" t="s">
        <v>12</v>
      </c>
    </row>
    <row r="12" spans="1:5" x14ac:dyDescent="0.35">
      <c r="A12">
        <f t="shared" si="0"/>
        <v>2008</v>
      </c>
      <c r="B12">
        <v>243</v>
      </c>
      <c r="C12">
        <v>1405660</v>
      </c>
      <c r="D12" t="s">
        <v>11</v>
      </c>
      <c r="E12" t="s">
        <v>12</v>
      </c>
    </row>
    <row r="13" spans="1:5" x14ac:dyDescent="0.35">
      <c r="A13">
        <f t="shared" si="0"/>
        <v>2009</v>
      </c>
      <c r="B13">
        <v>358</v>
      </c>
      <c r="C13">
        <v>1984914</v>
      </c>
      <c r="D13" t="s">
        <v>11</v>
      </c>
      <c r="E13" t="s">
        <v>12</v>
      </c>
    </row>
    <row r="14" spans="1:5" x14ac:dyDescent="0.35">
      <c r="A14">
        <f t="shared" si="0"/>
        <v>2010</v>
      </c>
      <c r="B14">
        <v>268</v>
      </c>
      <c r="C14">
        <v>1462730</v>
      </c>
      <c r="D14" t="s">
        <v>11</v>
      </c>
      <c r="E14" t="s">
        <v>12</v>
      </c>
    </row>
    <row r="15" spans="1:5" x14ac:dyDescent="0.35">
      <c r="A15">
        <f t="shared" si="0"/>
        <v>2011</v>
      </c>
      <c r="B15">
        <v>188</v>
      </c>
      <c r="C15">
        <v>1082188</v>
      </c>
      <c r="D15" t="s">
        <v>11</v>
      </c>
      <c r="E15" t="s">
        <v>12</v>
      </c>
    </row>
    <row r="16" spans="1:5" x14ac:dyDescent="0.35">
      <c r="A16">
        <f t="shared" si="0"/>
        <v>2012</v>
      </c>
      <c r="B16">
        <v>233</v>
      </c>
      <c r="C16">
        <v>1264864</v>
      </c>
      <c r="D16" t="s">
        <v>11</v>
      </c>
      <c r="E16" t="s">
        <v>12</v>
      </c>
    </row>
    <row r="17" spans="1:5" x14ac:dyDescent="0.35">
      <c r="A17">
        <f t="shared" si="0"/>
        <v>2013</v>
      </c>
      <c r="B17">
        <v>204</v>
      </c>
      <c r="C17">
        <v>1171968</v>
      </c>
      <c r="D17" t="s">
        <v>11</v>
      </c>
      <c r="E17" t="s">
        <v>12</v>
      </c>
    </row>
    <row r="18" spans="1:5" x14ac:dyDescent="0.35">
      <c r="A18">
        <f t="shared" si="0"/>
        <v>2014</v>
      </c>
      <c r="B18">
        <v>133</v>
      </c>
      <c r="C18">
        <v>783197</v>
      </c>
      <c r="D18" t="s">
        <v>11</v>
      </c>
      <c r="E18" t="s">
        <v>12</v>
      </c>
    </row>
    <row r="19" spans="1:5" x14ac:dyDescent="0.35">
      <c r="A19">
        <v>2015</v>
      </c>
      <c r="B19">
        <v>233</v>
      </c>
      <c r="C19">
        <v>1220629</v>
      </c>
      <c r="D19" t="s">
        <v>11</v>
      </c>
      <c r="E19" t="s">
        <v>12</v>
      </c>
    </row>
    <row r="20" spans="1:5" x14ac:dyDescent="0.35">
      <c r="A20">
        <f>A18+1</f>
        <v>2015</v>
      </c>
      <c r="B20">
        <v>233</v>
      </c>
      <c r="C20">
        <v>1220628</v>
      </c>
      <c r="D20" t="s">
        <v>9</v>
      </c>
      <c r="E20" t="s">
        <v>10</v>
      </c>
    </row>
    <row r="21" spans="1:5" x14ac:dyDescent="0.35">
      <c r="A21">
        <f t="shared" si="0"/>
        <v>2016</v>
      </c>
      <c r="B21">
        <v>253</v>
      </c>
      <c r="C21">
        <v>1304386</v>
      </c>
      <c r="D21" t="s">
        <v>9</v>
      </c>
      <c r="E21" t="s">
        <v>10</v>
      </c>
    </row>
    <row r="22" spans="1:5" x14ac:dyDescent="0.35">
      <c r="A22">
        <f t="shared" si="0"/>
        <v>2017</v>
      </c>
      <c r="B22">
        <v>230</v>
      </c>
      <c r="C22">
        <v>1161401</v>
      </c>
      <c r="D22" t="s">
        <v>9</v>
      </c>
      <c r="E22" t="s">
        <v>10</v>
      </c>
    </row>
    <row r="23" spans="1:5" x14ac:dyDescent="0.35">
      <c r="A23">
        <f t="shared" si="0"/>
        <v>2018</v>
      </c>
      <c r="B23">
        <v>198</v>
      </c>
      <c r="C23">
        <v>973551</v>
      </c>
      <c r="D23" t="s">
        <v>9</v>
      </c>
      <c r="E23" t="s">
        <v>10</v>
      </c>
    </row>
    <row r="24" spans="1:5" x14ac:dyDescent="0.35">
      <c r="A24">
        <f t="shared" si="0"/>
        <v>2019</v>
      </c>
      <c r="B24">
        <v>245</v>
      </c>
      <c r="C24">
        <v>1115970</v>
      </c>
      <c r="D24" t="s">
        <v>9</v>
      </c>
      <c r="E24" t="s">
        <v>10</v>
      </c>
    </row>
    <row r="25" spans="1:5" x14ac:dyDescent="0.35">
      <c r="A25">
        <f t="shared" si="0"/>
        <v>2020</v>
      </c>
      <c r="B25">
        <v>304</v>
      </c>
      <c r="C25">
        <v>1322967</v>
      </c>
      <c r="D25" t="s">
        <v>9</v>
      </c>
      <c r="E25" t="s">
        <v>10</v>
      </c>
    </row>
    <row r="26" spans="1:5" x14ac:dyDescent="0.35">
      <c r="A26">
        <f t="shared" si="0"/>
        <v>2021</v>
      </c>
      <c r="B26">
        <v>326</v>
      </c>
      <c r="C26">
        <v>1374821</v>
      </c>
      <c r="D26" t="s">
        <v>9</v>
      </c>
      <c r="E26" t="s">
        <v>10</v>
      </c>
    </row>
    <row r="27" spans="1:5" x14ac:dyDescent="0.35">
      <c r="A27">
        <f t="shared" si="0"/>
        <v>2022</v>
      </c>
      <c r="B27">
        <v>226</v>
      </c>
      <c r="C27">
        <v>863114</v>
      </c>
      <c r="D27" t="s">
        <v>9</v>
      </c>
      <c r="E27" t="s">
        <v>10</v>
      </c>
    </row>
    <row r="28" spans="1:5" x14ac:dyDescent="0.35">
      <c r="A28">
        <f t="shared" si="0"/>
        <v>2023</v>
      </c>
      <c r="B28">
        <v>210</v>
      </c>
      <c r="C28">
        <v>739141</v>
      </c>
      <c r="D28" t="s">
        <v>9</v>
      </c>
      <c r="E28" t="s">
        <v>10</v>
      </c>
    </row>
    <row r="29" spans="1:5" x14ac:dyDescent="0.35">
      <c r="A29">
        <f t="shared" si="0"/>
        <v>2024</v>
      </c>
      <c r="B29">
        <v>244</v>
      </c>
      <c r="C29">
        <v>805494</v>
      </c>
      <c r="D29" t="s">
        <v>9</v>
      </c>
      <c r="E29" t="s">
        <v>10</v>
      </c>
    </row>
    <row r="30" spans="1:5" x14ac:dyDescent="0.35">
      <c r="A30">
        <f t="shared" si="0"/>
        <v>2025</v>
      </c>
      <c r="B30">
        <v>272</v>
      </c>
      <c r="C30">
        <v>885703</v>
      </c>
      <c r="D30" t="s">
        <v>9</v>
      </c>
      <c r="E30" t="s">
        <v>10</v>
      </c>
    </row>
  </sheetData>
  <hyperlinks>
    <hyperlink ref="D18" r:id="rId1" xr:uid="{25817DE5-3FF7-4D92-A8BF-074E121A43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yearbook1979</vt:lpstr>
      <vt:lpstr>usmc2001</vt:lpstr>
      <vt:lpstr>fha_marketshare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Park</dc:creator>
  <cp:lastModifiedBy>Kevin Park</cp:lastModifiedBy>
  <dcterms:created xsi:type="dcterms:W3CDTF">2026-10-21T21:46:07Z</dcterms:created>
  <dcterms:modified xsi:type="dcterms:W3CDTF">2026-10-25T13:02:47Z</dcterms:modified>
</cp:coreProperties>
</file>