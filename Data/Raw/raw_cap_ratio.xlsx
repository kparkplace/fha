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FHA\Data\"/>
    </mc:Choice>
  </mc:AlternateContent>
  <xr:revisionPtr revIDLastSave="0" documentId="13_ncr:1_{03B2B19F-AEBF-498C-B07A-76FD5EED7749}" xr6:coauthVersionLast="47" xr6:coauthVersionMax="47" xr10:uidLastSave="{00000000-0000-0000-0000-000000000000}"/>
  <bookViews>
    <workbookView xWindow="-110" yWindow="-110" windowWidth="19420" windowHeight="11500" xr2:uid="{5F93B016-CE4F-4B5B-A926-7F731E36E5BC}"/>
  </bookViews>
  <sheets>
    <sheet name="Szymanoski2012" sheetId="1" r:id="rId1"/>
    <sheet name="AnnualReport2017" sheetId="2" r:id="rId2"/>
    <sheet name="AnnualReportLatest" sheetId="3" r:id="rId3"/>
    <sheet name="Actuarial_1995-2003" sheetId="4" r:id="rId4"/>
    <sheet name="Actuarial_2004-201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5" l="1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</calcChain>
</file>

<file path=xl/sharedStrings.xml><?xml version="1.0" encoding="utf-8"?>
<sst xmlns="http://schemas.openxmlformats.org/spreadsheetml/2006/main" count="46" uniqueCount="14">
  <si>
    <t>fiscal_year</t>
  </si>
  <si>
    <t>iif_unamort</t>
  </si>
  <si>
    <t>cap_ratio</t>
  </si>
  <si>
    <t>econ_value</t>
  </si>
  <si>
    <t>cap_resources</t>
  </si>
  <si>
    <t>cashflow_npv</t>
  </si>
  <si>
    <t>iif</t>
  </si>
  <si>
    <t>revenue_pv</t>
  </si>
  <si>
    <t>loss_pv</t>
  </si>
  <si>
    <t>cap_ratio_unamort</t>
  </si>
  <si>
    <t>source</t>
  </si>
  <si>
    <t>FY2024</t>
  </si>
  <si>
    <t>FY2017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</si>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</sst>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CEAA-F6A7-40F6-B982-664FF3566B73}">
  <dimension ref="A1:D13"/>
  <sheetViews>
    <sheetView tabSelected="1" workbookViewId="0">
      <selection activeCell="N15" sqref="N15"/>
    </sheetView>
  </sheetViews>
  <sheetFormatPr defaultRowHeight="14.5" x14ac:dyDescent="0.35"/>
  <cols>
    <col min="2" max="2" width="11.08984375" bestFit="1" customWidth="1"/>
    <col min="3" max="3" width="10.08984375" bestFit="1" customWidth="1"/>
    <col min="4" max="4" width="9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9</v>
      </c>
    </row>
    <row r="2" spans="1:4" x14ac:dyDescent="0.35">
      <c r="A2">
        <v>1989</v>
      </c>
      <c r="B2" s="4">
        <v>263963</v>
      </c>
      <c r="C2" s="4">
        <v>3133</v>
      </c>
      <c r="D2" s="1">
        <v>1.1900000000000001E-2</v>
      </c>
    </row>
    <row r="3" spans="1:4" x14ac:dyDescent="0.35">
      <c r="A3">
        <v>1990</v>
      </c>
      <c r="B3" s="4">
        <v>304216</v>
      </c>
      <c r="C3" s="4">
        <v>-2674</v>
      </c>
      <c r="D3" s="1">
        <v>-8.8000000000000005E-3</v>
      </c>
    </row>
    <row r="4" spans="1:4" x14ac:dyDescent="0.35">
      <c r="A4">
        <v>1991</v>
      </c>
      <c r="B4" s="4">
        <v>327811</v>
      </c>
      <c r="C4" s="4">
        <v>-669</v>
      </c>
      <c r="D4" s="1">
        <v>-2E-3</v>
      </c>
    </row>
    <row r="5" spans="1:4" x14ac:dyDescent="0.35">
      <c r="A5">
        <v>1992</v>
      </c>
      <c r="B5" s="4">
        <v>325912</v>
      </c>
      <c r="C5" s="4">
        <v>1405</v>
      </c>
      <c r="D5" s="1">
        <v>4.3E-3</v>
      </c>
    </row>
    <row r="6" spans="1:4" x14ac:dyDescent="0.35">
      <c r="A6">
        <v>1993</v>
      </c>
      <c r="B6" s="4">
        <v>316527</v>
      </c>
      <c r="C6" s="4">
        <v>4554</v>
      </c>
      <c r="D6" s="1">
        <v>1.44E-2</v>
      </c>
    </row>
    <row r="7" spans="1:4" x14ac:dyDescent="0.35">
      <c r="A7">
        <v>1994</v>
      </c>
      <c r="B7" s="4">
        <v>335073</v>
      </c>
      <c r="C7" s="4">
        <v>6682</v>
      </c>
      <c r="D7" s="1">
        <v>1.9900000000000001E-2</v>
      </c>
    </row>
    <row r="8" spans="1:4" x14ac:dyDescent="0.35">
      <c r="A8">
        <v>1995</v>
      </c>
      <c r="B8" s="4">
        <v>345278</v>
      </c>
      <c r="C8" s="4">
        <v>7086</v>
      </c>
      <c r="D8" s="1">
        <v>2.0500000000000001E-2</v>
      </c>
    </row>
    <row r="9" spans="1:4" x14ac:dyDescent="0.35">
      <c r="A9">
        <v>1996</v>
      </c>
      <c r="B9" s="4">
        <v>370484</v>
      </c>
      <c r="C9" s="4">
        <v>9397</v>
      </c>
      <c r="D9" s="1">
        <v>2.5399999999999999E-2</v>
      </c>
    </row>
    <row r="10" spans="1:4" x14ac:dyDescent="0.35">
      <c r="A10">
        <v>1997</v>
      </c>
      <c r="B10" s="4">
        <v>400850</v>
      </c>
      <c r="C10" s="4">
        <v>11258</v>
      </c>
      <c r="D10" s="1">
        <v>2.81E-2</v>
      </c>
    </row>
    <row r="11" spans="1:4" x14ac:dyDescent="0.35">
      <c r="A11">
        <v>1998</v>
      </c>
      <c r="B11" s="4">
        <v>419575</v>
      </c>
      <c r="C11" s="4">
        <v>11360</v>
      </c>
      <c r="D11" s="1">
        <v>2.7099999999999999E-2</v>
      </c>
    </row>
    <row r="12" spans="1:4" x14ac:dyDescent="0.35">
      <c r="A12">
        <v>1999</v>
      </c>
      <c r="B12" s="4">
        <v>454184</v>
      </c>
      <c r="C12" s="4">
        <v>16637</v>
      </c>
      <c r="D12" s="1">
        <v>3.6600000000000001E-2</v>
      </c>
    </row>
    <row r="13" spans="1:4" x14ac:dyDescent="0.35">
      <c r="A13">
        <v>2000</v>
      </c>
      <c r="B13" s="4">
        <v>482732</v>
      </c>
      <c r="C13" s="4">
        <v>16962</v>
      </c>
      <c r="D13" s="1">
        <v>3.5099999999999999E-2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0AB3-BDBA-4E52-8505-AD97FCDFC289}">
  <dimension ref="A1:G7"/>
  <sheetViews>
    <sheetView workbookViewId="0">
      <selection activeCell="G2" sqref="G2:G7"/>
    </sheetView>
  </sheetViews>
  <sheetFormatPr defaultRowHeight="14.5" x14ac:dyDescent="0.35"/>
  <sheetData>
    <row r="1" spans="1:7" x14ac:dyDescent="0.35">
      <c r="A1" t="s">
        <v>0</v>
      </c>
      <c r="B1" t="s">
        <v>4</v>
      </c>
      <c r="C1" t="s">
        <v>5</v>
      </c>
      <c r="D1" t="s">
        <v>3</v>
      </c>
      <c r="E1" t="s">
        <v>6</v>
      </c>
      <c r="F1" t="s">
        <v>2</v>
      </c>
      <c r="G1" t="s">
        <v>10</v>
      </c>
    </row>
    <row r="2" spans="1:7" x14ac:dyDescent="0.35">
      <c r="A2">
        <v>2012</v>
      </c>
      <c r="B2">
        <v>29315</v>
      </c>
      <c r="C2">
        <v>-39052</v>
      </c>
      <c r="D2">
        <v>-9737</v>
      </c>
      <c r="E2">
        <v>8.9999999999999998E-4</v>
      </c>
      <c r="F2">
        <v>-9.1000000000000004E-3</v>
      </c>
      <c r="G2" t="s">
        <v>12</v>
      </c>
    </row>
    <row r="3" spans="1:7" x14ac:dyDescent="0.35">
      <c r="A3">
        <v>2013</v>
      </c>
      <c r="B3">
        <v>23668</v>
      </c>
      <c r="C3">
        <v>-28432</v>
      </c>
      <c r="D3">
        <v>-4764</v>
      </c>
      <c r="E3">
        <v>2.8999999999999998E-3</v>
      </c>
      <c r="F3">
        <v>-4.4000000000000003E-3</v>
      </c>
      <c r="G3" t="s">
        <v>12</v>
      </c>
    </row>
    <row r="4" spans="1:7" x14ac:dyDescent="0.35">
      <c r="A4">
        <v>2014</v>
      </c>
      <c r="B4">
        <v>23183</v>
      </c>
      <c r="C4">
        <v>-13684</v>
      </c>
      <c r="D4">
        <v>9499</v>
      </c>
      <c r="E4">
        <v>3.3E-3</v>
      </c>
      <c r="F4">
        <v>8.8000000000000005E-3</v>
      </c>
      <c r="G4" t="s">
        <v>12</v>
      </c>
    </row>
    <row r="5" spans="1:7" x14ac:dyDescent="0.35">
      <c r="A5">
        <v>2015</v>
      </c>
      <c r="B5">
        <v>25533</v>
      </c>
      <c r="C5">
        <v>-4186</v>
      </c>
      <c r="D5">
        <v>21347</v>
      </c>
      <c r="E5">
        <v>4.0000000000000001E-3</v>
      </c>
      <c r="F5">
        <v>0.02</v>
      </c>
      <c r="G5" t="s">
        <v>12</v>
      </c>
    </row>
    <row r="6" spans="1:7" x14ac:dyDescent="0.35">
      <c r="A6">
        <v>2016</v>
      </c>
      <c r="B6">
        <v>30227</v>
      </c>
      <c r="C6">
        <v>3948</v>
      </c>
      <c r="D6">
        <v>34175</v>
      </c>
      <c r="E6">
        <v>-1E-3</v>
      </c>
      <c r="F6">
        <v>3.1099999999999999E-2</v>
      </c>
      <c r="G6" t="s">
        <v>12</v>
      </c>
    </row>
    <row r="7" spans="1:7" x14ac:dyDescent="0.35">
      <c r="A7">
        <v>2017</v>
      </c>
      <c r="B7">
        <v>37056</v>
      </c>
      <c r="C7">
        <v>1357</v>
      </c>
      <c r="D7">
        <v>38413</v>
      </c>
      <c r="E7">
        <v>8.6999999999999994E-3</v>
      </c>
      <c r="F7">
        <v>3.3300000000000003E-2</v>
      </c>
      <c r="G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C7ED-4CCE-4DC2-B4A5-FF28E81D7673}">
  <dimension ref="A1:H10"/>
  <sheetViews>
    <sheetView workbookViewId="0">
      <selection activeCell="H11" sqref="H11"/>
    </sheetView>
  </sheetViews>
  <sheetFormatPr defaultRowHeight="14.5" x14ac:dyDescent="0.35"/>
  <cols>
    <col min="2" max="2" width="9.36328125" bestFit="1" customWidth="1"/>
    <col min="3" max="3" width="8.81640625" bestFit="1" customWidth="1"/>
    <col min="4" max="4" width="9" bestFit="1" customWidth="1"/>
    <col min="5" max="5" width="9.36328125" bestFit="1" customWidth="1"/>
    <col min="6" max="6" width="10.36328125" bestFit="1" customWidth="1"/>
    <col min="7" max="7" width="8.81640625" bestFit="1" customWidth="1"/>
  </cols>
  <sheetData>
    <row r="1" spans="1:8" x14ac:dyDescent="0.35">
      <c r="A1" t="s">
        <v>0</v>
      </c>
      <c r="B1" t="s">
        <v>4</v>
      </c>
      <c r="C1" t="s">
        <v>7</v>
      </c>
      <c r="D1" t="s">
        <v>8</v>
      </c>
      <c r="E1" t="s">
        <v>3</v>
      </c>
      <c r="F1" t="s">
        <v>6</v>
      </c>
      <c r="G1" t="s">
        <v>2</v>
      </c>
      <c r="H1" t="s">
        <v>10</v>
      </c>
    </row>
    <row r="2" spans="1:8" x14ac:dyDescent="0.35">
      <c r="A2">
        <v>2017</v>
      </c>
      <c r="B2">
        <v>37056</v>
      </c>
      <c r="C2">
        <v>53942</v>
      </c>
      <c r="D2">
        <v>-52584</v>
      </c>
      <c r="E2">
        <v>38413</v>
      </c>
      <c r="F2">
        <v>1153875</v>
      </c>
      <c r="G2">
        <v>3.3300000000000003E-2</v>
      </c>
      <c r="H2" t="s">
        <v>11</v>
      </c>
    </row>
    <row r="3" spans="1:8" x14ac:dyDescent="0.35">
      <c r="A3">
        <v>2018</v>
      </c>
      <c r="B3">
        <v>45438</v>
      </c>
      <c r="C3">
        <v>45307</v>
      </c>
      <c r="D3">
        <v>-43935</v>
      </c>
      <c r="E3">
        <v>46810</v>
      </c>
      <c r="F3">
        <v>1192283</v>
      </c>
      <c r="G3">
        <v>3.9300000000000002E-2</v>
      </c>
      <c r="H3" t="s">
        <v>11</v>
      </c>
    </row>
    <row r="4" spans="1:8" x14ac:dyDescent="0.35">
      <c r="A4">
        <v>2019</v>
      </c>
      <c r="B4">
        <v>54600</v>
      </c>
      <c r="C4">
        <v>45783</v>
      </c>
      <c r="D4">
        <v>-33769</v>
      </c>
      <c r="E4">
        <v>66614</v>
      </c>
      <c r="F4">
        <v>1224225</v>
      </c>
      <c r="G4">
        <v>5.4399999999999997E-2</v>
      </c>
      <c r="H4" t="s">
        <v>11</v>
      </c>
    </row>
    <row r="5" spans="1:8" x14ac:dyDescent="0.35">
      <c r="A5">
        <v>2020</v>
      </c>
      <c r="B5">
        <v>67368</v>
      </c>
      <c r="C5">
        <v>44574</v>
      </c>
      <c r="D5">
        <v>-34187</v>
      </c>
      <c r="E5">
        <v>77755</v>
      </c>
      <c r="F5">
        <v>1232093</v>
      </c>
      <c r="G5">
        <v>6.3100000000000003E-2</v>
      </c>
      <c r="H5" t="s">
        <v>11</v>
      </c>
    </row>
    <row r="6" spans="1:8" x14ac:dyDescent="0.35">
      <c r="A6">
        <v>2021</v>
      </c>
      <c r="B6">
        <v>78500</v>
      </c>
      <c r="C6">
        <v>45544</v>
      </c>
      <c r="D6">
        <v>-29063</v>
      </c>
      <c r="E6">
        <v>94981</v>
      </c>
      <c r="F6">
        <v>1188595</v>
      </c>
      <c r="G6">
        <v>7.9899999999999999E-2</v>
      </c>
      <c r="H6" t="s">
        <v>11</v>
      </c>
    </row>
    <row r="7" spans="1:8" x14ac:dyDescent="0.35">
      <c r="A7">
        <v>2022</v>
      </c>
      <c r="B7">
        <v>89512</v>
      </c>
      <c r="C7">
        <v>50033</v>
      </c>
      <c r="D7">
        <v>-12944</v>
      </c>
      <c r="E7">
        <v>126600</v>
      </c>
      <c r="F7">
        <v>1208886</v>
      </c>
      <c r="G7">
        <v>0.1047</v>
      </c>
      <c r="H7" t="s">
        <v>11</v>
      </c>
    </row>
    <row r="8" spans="1:8" x14ac:dyDescent="0.35">
      <c r="A8">
        <v>2023</v>
      </c>
      <c r="B8">
        <v>101884</v>
      </c>
      <c r="C8">
        <v>55451</v>
      </c>
      <c r="D8">
        <v>-23072</v>
      </c>
      <c r="E8">
        <v>134263</v>
      </c>
      <c r="F8">
        <v>1316881</v>
      </c>
      <c r="G8">
        <v>0.10199999999999999</v>
      </c>
      <c r="H8" t="s">
        <v>11</v>
      </c>
    </row>
    <row r="9" spans="1:8" x14ac:dyDescent="0.35">
      <c r="A9">
        <v>2024</v>
      </c>
      <c r="B9">
        <v>115887</v>
      </c>
      <c r="C9">
        <v>64193</v>
      </c>
      <c r="D9">
        <v>-23279</v>
      </c>
      <c r="E9">
        <v>156802</v>
      </c>
      <c r="F9">
        <v>1441523</v>
      </c>
      <c r="G9">
        <v>0.10879999999999999</v>
      </c>
      <c r="H9" t="s">
        <v>11</v>
      </c>
    </row>
    <row r="10" spans="1:8" x14ac:dyDescent="0.35">
      <c r="A10">
        <v>2025</v>
      </c>
      <c r="B10" s="3">
        <v>130533</v>
      </c>
      <c r="C10" s="3">
        <v>64809</v>
      </c>
      <c r="D10" s="3">
        <v>-21936</v>
      </c>
      <c r="E10" s="3">
        <v>173406</v>
      </c>
      <c r="F10" s="3">
        <v>1582946</v>
      </c>
      <c r="G10" s="1">
        <v>0.1095</v>
      </c>
      <c r="H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088D-F941-42ED-B032-16DCF6775B45}">
  <dimension ref="A1:D8"/>
  <sheetViews>
    <sheetView workbookViewId="0">
      <selection activeCell="H14" sqref="H14"/>
    </sheetView>
  </sheetViews>
  <sheetFormatPr defaultRowHeight="14.5" x14ac:dyDescent="0.35"/>
  <cols>
    <col min="2" max="2" width="8.81640625" bestFit="1" customWidth="1"/>
    <col min="3" max="3" width="9.36328125" bestFit="1" customWidth="1"/>
    <col min="4" max="4" width="8.81640625" bestFit="1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9</v>
      </c>
    </row>
    <row r="2" spans="1:4" x14ac:dyDescent="0.35">
      <c r="A2">
        <v>1995</v>
      </c>
      <c r="B2" s="3">
        <v>7086</v>
      </c>
      <c r="C2" s="3">
        <v>345278</v>
      </c>
      <c r="D2" s="1">
        <v>2.0500000000000001E-2</v>
      </c>
    </row>
    <row r="3" spans="1:4" x14ac:dyDescent="0.35">
      <c r="A3">
        <v>1996</v>
      </c>
      <c r="B3" s="3">
        <v>9397</v>
      </c>
      <c r="C3" s="3">
        <v>370484</v>
      </c>
      <c r="D3" s="1">
        <v>2.5399999999999999E-2</v>
      </c>
    </row>
    <row r="4" spans="1:4" x14ac:dyDescent="0.35">
      <c r="A4">
        <v>1997</v>
      </c>
      <c r="B4" s="3">
        <v>11258</v>
      </c>
      <c r="C4" s="3">
        <v>400850</v>
      </c>
      <c r="D4" s="1">
        <v>2.81E-2</v>
      </c>
    </row>
    <row r="5" spans="1:4" x14ac:dyDescent="0.35">
      <c r="A5">
        <v>2000</v>
      </c>
      <c r="B5" s="3">
        <v>16962</v>
      </c>
      <c r="C5" s="3">
        <v>482732</v>
      </c>
      <c r="D5" s="1">
        <v>3.5099999999999999E-2</v>
      </c>
    </row>
    <row r="6" spans="1:4" x14ac:dyDescent="0.35">
      <c r="A6">
        <v>2001</v>
      </c>
      <c r="B6" s="3">
        <v>18510</v>
      </c>
      <c r="C6" s="3">
        <v>493250</v>
      </c>
      <c r="D6" s="1">
        <v>3.7499999999999999E-2</v>
      </c>
    </row>
    <row r="7" spans="1:4" x14ac:dyDescent="0.35">
      <c r="A7">
        <v>2002</v>
      </c>
      <c r="B7" s="3">
        <v>22636</v>
      </c>
      <c r="C7" s="3">
        <v>500492</v>
      </c>
      <c r="D7" s="1">
        <v>4.5199999999999997E-2</v>
      </c>
    </row>
    <row r="8" spans="1:4" x14ac:dyDescent="0.35">
      <c r="A8">
        <v>2003</v>
      </c>
      <c r="B8" s="3">
        <v>22736</v>
      </c>
      <c r="C8" s="3">
        <v>436401</v>
      </c>
      <c r="D8" s="1">
        <v>5.21E-2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89FB-733E-4161-BDD9-964F6E0FF68E}">
  <dimension ref="A1:I14"/>
  <sheetViews>
    <sheetView workbookViewId="0">
      <selection activeCell="A15" sqref="A15"/>
    </sheetView>
  </sheetViews>
  <sheetFormatPr defaultRowHeight="14.5" x14ac:dyDescent="0.35"/>
  <cols>
    <col min="2" max="2" width="8.81640625" bestFit="1" customWidth="1"/>
    <col min="3" max="4" width="9" bestFit="1" customWidth="1"/>
    <col min="5" max="6" width="10.36328125" bestFit="1" customWidth="1"/>
    <col min="7" max="8" width="8.81640625" bestFit="1" customWidth="1"/>
  </cols>
  <sheetData>
    <row r="1" spans="1:9" x14ac:dyDescent="0.35">
      <c r="A1" t="s">
        <v>0</v>
      </c>
      <c r="B1" t="s">
        <v>4</v>
      </c>
      <c r="C1" t="s">
        <v>5</v>
      </c>
      <c r="D1" t="s">
        <v>3</v>
      </c>
      <c r="E1" t="s">
        <v>1</v>
      </c>
      <c r="F1" t="s">
        <v>6</v>
      </c>
      <c r="G1" t="s">
        <v>9</v>
      </c>
      <c r="H1" t="s">
        <v>2</v>
      </c>
    </row>
    <row r="2" spans="1:9" x14ac:dyDescent="0.35">
      <c r="A2">
        <v>2004</v>
      </c>
      <c r="B2" s="3">
        <v>22794</v>
      </c>
      <c r="C2" s="3">
        <v>-817</v>
      </c>
      <c r="D2" s="3">
        <v>21977</v>
      </c>
      <c r="E2" s="3">
        <v>397285</v>
      </c>
      <c r="F2" s="3">
        <v>372613</v>
      </c>
      <c r="G2" s="1">
        <v>5.5300000000000002E-2</v>
      </c>
      <c r="H2" s="1">
        <v>5.8999999999999997E-2</v>
      </c>
      <c r="I2" s="2"/>
    </row>
    <row r="3" spans="1:9" x14ac:dyDescent="0.35">
      <c r="A3">
        <v>2005</v>
      </c>
      <c r="B3" s="3">
        <v>23165</v>
      </c>
      <c r="C3" s="3">
        <v>-1544</v>
      </c>
      <c r="D3" s="3">
        <v>21621</v>
      </c>
      <c r="E3" s="3">
        <v>358871</v>
      </c>
      <c r="F3" s="3">
        <v>332393</v>
      </c>
      <c r="G3" s="1">
        <v>6.0199999999999997E-2</v>
      </c>
      <c r="H3" s="1">
        <v>6.5000000000000002E-2</v>
      </c>
      <c r="I3" s="2"/>
    </row>
    <row r="4" spans="1:9" x14ac:dyDescent="0.35">
      <c r="A4">
        <v>2006</v>
      </c>
      <c r="B4" s="3">
        <v>23461</v>
      </c>
      <c r="C4" s="3">
        <v>-1440</v>
      </c>
      <c r="D4" s="3">
        <v>22021</v>
      </c>
      <c r="E4" s="3">
        <v>323028</v>
      </c>
      <c r="F4" s="3">
        <v>298542</v>
      </c>
      <c r="G4" s="1">
        <v>6.8199999999999997E-2</v>
      </c>
      <c r="H4" s="1">
        <v>7.3800000000000004E-2</v>
      </c>
      <c r="I4" s="2"/>
    </row>
    <row r="5" spans="1:9" x14ac:dyDescent="0.35">
      <c r="A5">
        <v>2007</v>
      </c>
      <c r="B5" s="3">
        <v>25365</v>
      </c>
      <c r="C5" s="3">
        <v>-4088</v>
      </c>
      <c r="D5" s="3">
        <v>21277</v>
      </c>
      <c r="E5" s="3">
        <v>332293</v>
      </c>
      <c r="F5" s="3">
        <v>305449</v>
      </c>
      <c r="G5" s="1">
        <v>6.4000000000000001E-2</v>
      </c>
      <c r="H5" s="1">
        <v>6.9699999999999998E-2</v>
      </c>
      <c r="I5" s="2"/>
    </row>
    <row r="6" spans="1:9" x14ac:dyDescent="0.35">
      <c r="A6">
        <v>2008</v>
      </c>
      <c r="B6" s="3">
        <v>27281</v>
      </c>
      <c r="C6" s="3">
        <v>-14374</v>
      </c>
      <c r="D6" s="3">
        <v>12908</v>
      </c>
      <c r="E6" s="3">
        <v>429634</v>
      </c>
      <c r="F6" s="3">
        <v>401461</v>
      </c>
      <c r="G6" s="1">
        <v>0.03</v>
      </c>
      <c r="H6" s="1">
        <v>3.2199999999999999E-2</v>
      </c>
      <c r="I6" s="2"/>
    </row>
    <row r="7" spans="1:9" x14ac:dyDescent="0.35">
      <c r="A7">
        <v>2009</v>
      </c>
      <c r="B7" s="3">
        <v>30105</v>
      </c>
      <c r="C7" s="3">
        <v>-27373</v>
      </c>
      <c r="D7" s="3">
        <v>2732</v>
      </c>
      <c r="E7" s="3">
        <v>686263</v>
      </c>
      <c r="F7" s="3">
        <v>656012</v>
      </c>
      <c r="G7" s="1">
        <f>ROUND(D7/E7,4)</f>
        <v>4.0000000000000001E-3</v>
      </c>
      <c r="H7" s="1">
        <f>ROUND(D7/F7,4)</f>
        <v>4.1999999999999997E-3</v>
      </c>
      <c r="I7" s="2"/>
    </row>
    <row r="8" spans="1:9" x14ac:dyDescent="0.35">
      <c r="A8">
        <v>2010</v>
      </c>
      <c r="B8" s="3">
        <v>30552</v>
      </c>
      <c r="C8" s="3">
        <v>-25392</v>
      </c>
      <c r="D8" s="3">
        <v>5160</v>
      </c>
      <c r="E8" s="3">
        <v>926251</v>
      </c>
      <c r="F8" s="3">
        <v>879875</v>
      </c>
      <c r="G8" s="1">
        <f t="shared" ref="G8:G14" si="0">ROUND(D8/E8,4)</f>
        <v>5.5999999999999999E-3</v>
      </c>
      <c r="H8" s="1">
        <f t="shared" ref="H8:H14" si="1">ROUND(D8/F8,4)</f>
        <v>5.8999999999999999E-3</v>
      </c>
      <c r="I8" s="2"/>
    </row>
    <row r="9" spans="1:9" x14ac:dyDescent="0.35">
      <c r="A9">
        <v>2011</v>
      </c>
      <c r="B9" s="3">
        <v>28183</v>
      </c>
      <c r="C9" s="3">
        <v>-26990</v>
      </c>
      <c r="D9" s="3">
        <v>1193</v>
      </c>
      <c r="E9" s="3">
        <v>1069354</v>
      </c>
      <c r="F9" s="3">
        <v>1009154</v>
      </c>
      <c r="G9" s="1">
        <f t="shared" si="0"/>
        <v>1.1000000000000001E-3</v>
      </c>
      <c r="H9" s="1">
        <f t="shared" si="1"/>
        <v>1.1999999999999999E-3</v>
      </c>
      <c r="I9" s="2"/>
    </row>
    <row r="10" spans="1:9" x14ac:dyDescent="0.35">
      <c r="A10">
        <v>2012</v>
      </c>
      <c r="B10" s="3">
        <v>25574</v>
      </c>
      <c r="C10" s="3">
        <v>-39052</v>
      </c>
      <c r="D10" s="3">
        <v>-13478</v>
      </c>
      <c r="E10" s="3">
        <v>1126267</v>
      </c>
      <c r="F10" s="3">
        <v>1053329</v>
      </c>
      <c r="G10" s="1">
        <f t="shared" si="0"/>
        <v>-1.2E-2</v>
      </c>
      <c r="H10" s="1">
        <f t="shared" si="1"/>
        <v>-1.2800000000000001E-2</v>
      </c>
      <c r="I10" s="2"/>
    </row>
    <row r="11" spans="1:9" x14ac:dyDescent="0.35">
      <c r="A11">
        <v>2013</v>
      </c>
      <c r="B11" s="3">
        <v>20561</v>
      </c>
      <c r="C11" s="3">
        <v>-28432</v>
      </c>
      <c r="D11" s="3">
        <v>-7871</v>
      </c>
      <c r="E11" s="3">
        <v>1173038</v>
      </c>
      <c r="F11" s="3">
        <v>1090482</v>
      </c>
      <c r="G11" s="1">
        <f t="shared" si="0"/>
        <v>-6.7000000000000002E-3</v>
      </c>
      <c r="H11" s="1">
        <f t="shared" si="1"/>
        <v>-7.1999999999999998E-3</v>
      </c>
    </row>
    <row r="12" spans="1:9" x14ac:dyDescent="0.35">
      <c r="A12">
        <v>2014</v>
      </c>
      <c r="B12" s="3">
        <v>19616</v>
      </c>
      <c r="C12" s="3">
        <v>-13684</v>
      </c>
      <c r="D12" s="3">
        <v>5932</v>
      </c>
      <c r="E12" s="3">
        <v>1154818</v>
      </c>
      <c r="F12" s="3">
        <v>1059925</v>
      </c>
      <c r="G12" s="1">
        <f t="shared" si="0"/>
        <v>5.1000000000000004E-3</v>
      </c>
      <c r="H12" s="1">
        <f t="shared" si="1"/>
        <v>5.5999999999999999E-3</v>
      </c>
    </row>
    <row r="13" spans="1:9" x14ac:dyDescent="0.35">
      <c r="A13">
        <v>2015</v>
      </c>
      <c r="B13" s="3">
        <v>21230</v>
      </c>
      <c r="C13" s="3">
        <v>-4186</v>
      </c>
      <c r="D13" s="3">
        <v>17044</v>
      </c>
      <c r="E13" s="3">
        <v>1150452</v>
      </c>
      <c r="F13" s="3">
        <v>1046224</v>
      </c>
      <c r="G13" s="1">
        <f t="shared" si="0"/>
        <v>1.4800000000000001E-2</v>
      </c>
      <c r="H13" s="1">
        <f t="shared" si="1"/>
        <v>1.6299999999999999E-2</v>
      </c>
    </row>
    <row r="14" spans="1:9" x14ac:dyDescent="0.35">
      <c r="A14">
        <v>2016</v>
      </c>
      <c r="B14" s="3">
        <v>31324</v>
      </c>
      <c r="C14" s="3">
        <v>3948</v>
      </c>
      <c r="D14" s="3">
        <v>35272</v>
      </c>
      <c r="E14" s="3">
        <v>1188573</v>
      </c>
      <c r="F14" s="3">
        <v>1076650</v>
      </c>
      <c r="G14" s="1">
        <f t="shared" si="0"/>
        <v>2.9700000000000001E-2</v>
      </c>
      <c r="H14" s="1">
        <f t="shared" si="1"/>
        <v>3.2800000000000003E-2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Szymanoski2012</vt:lpstr>
      <vt:lpstr>AnnualReport2017</vt:lpstr>
      <vt:lpstr>AnnualReportLatest</vt:lpstr>
      <vt:lpstr>Actuarial_1995-2003</vt:lpstr>
      <vt:lpstr>Actuarial_2004-2016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Park</dc:creator>
  <cp:lastModifiedBy>Kevin Park</cp:lastModifiedBy>
  <dcterms:created xsi:type="dcterms:W3CDTF">2026-10-03T12:03:48Z</dcterms:created>
  <dcterms:modified xsi:type="dcterms:W3CDTF">2026-10-04T11:27:58Z</dcterms:modified>
</cp:coreProperties>
</file>